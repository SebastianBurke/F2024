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2026996\Desktop\F2024\Systems Maintenance\Assignments\A02\"/>
    </mc:Choice>
  </mc:AlternateContent>
  <xr:revisionPtr revIDLastSave="0" documentId="13_ncr:1_{D7833FC5-E26F-48FF-B571-C710C690A3C4}" xr6:coauthVersionLast="47" xr6:coauthVersionMax="47" xr10:uidLastSave="{00000000-0000-0000-0000-000000000000}"/>
  <bookViews>
    <workbookView xWindow="14190" yWindow="-16200" windowWidth="14610" windowHeight="15585" xr2:uid="{00000000-000D-0000-FFFF-FFFF00000000}"/>
  </bookViews>
  <sheets>
    <sheet name="Test Results" sheetId="2" r:id="rId1"/>
    <sheet name="Bugs" sheetId="3"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0" i="2" l="1"/>
  <c r="C49" i="2"/>
  <c r="C48" i="2"/>
  <c r="C47" i="2"/>
  <c r="C46" i="2"/>
  <c r="C45" i="2"/>
  <c r="C44" i="2"/>
  <c r="C43" i="2"/>
  <c r="C42" i="2"/>
  <c r="C41" i="2"/>
  <c r="C40" i="2"/>
  <c r="C39" i="2"/>
  <c r="E18" i="2"/>
  <c r="C32" i="2"/>
  <c r="D18" i="2" s="1"/>
  <c r="C33" i="2"/>
  <c r="C34" i="2"/>
  <c r="C35" i="2"/>
  <c r="C36" i="2"/>
  <c r="C37" i="2"/>
  <c r="C38" i="2"/>
  <c r="F16" i="2"/>
  <c r="F15" i="2"/>
  <c r="F14" i="2"/>
  <c r="F13" i="2"/>
  <c r="F11" i="2" l="1"/>
  <c r="F12" i="2"/>
  <c r="F17" i="2" l="1"/>
  <c r="F10" i="2" l="1"/>
  <c r="F9" i="2"/>
</calcChain>
</file>

<file path=xl/sharedStrings.xml><?xml version="1.0" encoding="utf-8"?>
<sst xmlns="http://schemas.openxmlformats.org/spreadsheetml/2006/main" count="196" uniqueCount="58">
  <si>
    <t>Tester</t>
  </si>
  <si>
    <t>Date of Execution</t>
  </si>
  <si>
    <t>Result</t>
  </si>
  <si>
    <t>Comments</t>
  </si>
  <si>
    <t>Tests Not Run:</t>
  </si>
  <si>
    <t>Total Num Tests:</t>
  </si>
  <si>
    <t>Tests Blocked:</t>
  </si>
  <si>
    <t xml:space="preserve"> </t>
  </si>
  <si>
    <t>Overall Pass Rate:</t>
  </si>
  <si>
    <t>Tests Run - Pass Rate:</t>
  </si>
  <si>
    <t>Tests Run - Pass (no BLK):</t>
  </si>
  <si>
    <t>Tests Pass:</t>
  </si>
  <si>
    <t>Tests  Fail:</t>
  </si>
  <si>
    <t>Percent Executed:</t>
  </si>
  <si>
    <t>Not Run</t>
  </si>
  <si>
    <t>BLK</t>
  </si>
  <si>
    <t>PASS</t>
  </si>
  <si>
    <t>FAIL</t>
  </si>
  <si>
    <t>N/A</t>
  </si>
  <si>
    <t>Bug ID(s)</t>
  </si>
  <si>
    <t>Section Number</t>
  </si>
  <si>
    <t>Test</t>
  </si>
  <si>
    <t>FN</t>
  </si>
  <si>
    <t>Test ID</t>
  </si>
  <si>
    <t>US</t>
  </si>
  <si>
    <t>SE</t>
  </si>
  <si>
    <t>BC</t>
  </si>
  <si>
    <t>BugID</t>
  </si>
  <si>
    <t>Title (short description)</t>
  </si>
  <si>
    <t>…..</t>
  </si>
  <si>
    <t>Application version</t>
  </si>
  <si>
    <t>Detailed Description of the Issue (including how to reproduce)</t>
  </si>
  <si>
    <t>NAS/NCET</t>
  </si>
  <si>
    <t>1.0.0</t>
  </si>
  <si>
    <t>Sebastian Canales Burke</t>
  </si>
  <si>
    <t>scanalesburke_K30_A02_SystemTest.docx</t>
  </si>
  <si>
    <t>FN01</t>
  </si>
  <si>
    <t>FN02</t>
  </si>
  <si>
    <t>FN03</t>
  </si>
  <si>
    <t>FN04</t>
  </si>
  <si>
    <t>FN05</t>
  </si>
  <si>
    <t>FN06</t>
  </si>
  <si>
    <t>FN07</t>
  </si>
  <si>
    <t>FN08</t>
  </si>
  <si>
    <t>FN09</t>
  </si>
  <si>
    <t>FN10</t>
  </si>
  <si>
    <t>FN11</t>
  </si>
  <si>
    <t>FN12</t>
  </si>
  <si>
    <t>Scale</t>
  </si>
  <si>
    <t>Performance</t>
  </si>
  <si>
    <t>C0</t>
  </si>
  <si>
    <t>Not actually authenticated by AMS, but the roles are being used.</t>
  </si>
  <si>
    <t>Courses cannot be deleted at the moment.</t>
  </si>
  <si>
    <t>AMS not working at the moment.</t>
  </si>
  <si>
    <t>Hacky solution for login</t>
  </si>
  <si>
    <t>it is a serious vulnerability that we are temporarily using to access the system because AMS is down, can get into the system if using NC, NS, NL or NI as username and anything as the password</t>
  </si>
  <si>
    <t>Courses cannot be deleted</t>
  </si>
  <si>
    <t>No option to delete a course after it has been created, will add an option to delete a course if no course run has been started for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</si>
</sst>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0"/>
      <name val="Arial"/>
    </font>
    <font>
      <sz val="10"/>
      <name val="Arial"/>
      <family val="2"/>
    </font>
    <font>
      <b/>
      <sz val="10"/>
      <name val="Arial"/>
      <family val="2"/>
    </font>
    <font>
      <b/>
      <sz val="10"/>
      <color rgb="FFFF0000"/>
      <name val="Arial"/>
      <family val="2"/>
    </font>
    <font>
      <sz val="10"/>
      <name val="Verdana"/>
      <family val="2"/>
    </font>
    <font>
      <sz val="12"/>
      <name val="Aptos Display"/>
      <family val="2"/>
    </font>
  </fonts>
  <fills count="7">
    <fill>
      <patternFill patternType="none"/>
    </fill>
    <fill>
      <patternFill patternType="gray125"/>
    </fill>
    <fill>
      <patternFill patternType="solid">
        <fgColor indexed="8"/>
        <bgColor indexed="64"/>
      </patternFill>
    </fill>
    <fill>
      <patternFill patternType="solid">
        <fgColor theme="0" tint="-0.14999847407452621"/>
        <bgColor indexed="64"/>
      </patternFill>
    </fill>
    <fill>
      <patternFill patternType="solid">
        <fgColor rgb="FFFFFF00"/>
        <bgColor indexed="64"/>
      </patternFill>
    </fill>
    <fill>
      <patternFill patternType="solid">
        <fgColor theme="6" tint="0.59999389629810485"/>
        <bgColor indexed="64"/>
      </patternFill>
    </fill>
    <fill>
      <patternFill patternType="solid">
        <fgColor theme="9" tint="0.59999389629810485"/>
        <bgColor indexed="64"/>
      </patternFill>
    </fill>
  </fills>
  <borders count="35">
    <border>
      <left/>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93">
    <xf numFmtId="0" fontId="0" fillId="0" borderId="0" xfId="0"/>
    <xf numFmtId="0" fontId="0" fillId="0" borderId="0" xfId="0" applyAlignment="1">
      <alignment horizontal="center"/>
    </xf>
    <xf numFmtId="0" fontId="0" fillId="0" borderId="0" xfId="0" applyNumberFormat="1" applyAlignment="1">
      <alignment horizontal="center"/>
    </xf>
    <xf numFmtId="0" fontId="0" fillId="0" borderId="0" xfId="0" applyFill="1"/>
    <xf numFmtId="0" fontId="0" fillId="2" borderId="1" xfId="0" applyFill="1" applyBorder="1" applyAlignment="1">
      <alignment horizontal="center"/>
    </xf>
    <xf numFmtId="0" fontId="0" fillId="2" borderId="2" xfId="0" applyFill="1" applyBorder="1" applyAlignment="1">
      <alignment horizontal="center"/>
    </xf>
    <xf numFmtId="0" fontId="0" fillId="2" borderId="3" xfId="0" applyNumberFormat="1" applyFill="1" applyBorder="1" applyAlignment="1">
      <alignment horizontal="center"/>
    </xf>
    <xf numFmtId="0" fontId="0" fillId="0" borderId="0" xfId="0" applyNumberFormat="1" applyFill="1" applyAlignment="1">
      <alignment horizontal="center"/>
    </xf>
    <xf numFmtId="0" fontId="0" fillId="2" borderId="4" xfId="0" applyNumberFormat="1" applyFill="1" applyBorder="1" applyAlignment="1">
      <alignment horizontal="center"/>
    </xf>
    <xf numFmtId="0" fontId="0" fillId="0" borderId="5" xfId="0" applyBorder="1" applyAlignment="1">
      <alignment horizontal="right"/>
    </xf>
    <xf numFmtId="0" fontId="0" fillId="0" borderId="6" xfId="0" applyBorder="1" applyAlignment="1">
      <alignment horizontal="right"/>
    </xf>
    <xf numFmtId="0" fontId="0" fillId="0" borderId="7" xfId="0" applyBorder="1" applyAlignment="1">
      <alignment horizontal="right"/>
    </xf>
    <xf numFmtId="0" fontId="0" fillId="0" borderId="0" xfId="0" applyBorder="1" applyAlignment="1">
      <alignment horizontal="right"/>
    </xf>
    <xf numFmtId="0" fontId="0" fillId="0" borderId="7" xfId="0" applyFill="1" applyBorder="1" applyAlignment="1">
      <alignment horizontal="right"/>
    </xf>
    <xf numFmtId="0" fontId="0" fillId="0" borderId="0" xfId="0" applyFill="1" applyBorder="1" applyAlignment="1">
      <alignment horizontal="right"/>
    </xf>
    <xf numFmtId="0" fontId="0" fillId="0" borderId="3" xfId="0" applyBorder="1" applyAlignment="1">
      <alignment horizontal="right"/>
    </xf>
    <xf numFmtId="0" fontId="0" fillId="0" borderId="8" xfId="0" applyBorder="1" applyAlignment="1">
      <alignment horizontal="right"/>
    </xf>
    <xf numFmtId="0" fontId="0" fillId="0" borderId="8" xfId="0" applyNumberFormat="1" applyBorder="1" applyAlignment="1">
      <alignment horizontal="right"/>
    </xf>
    <xf numFmtId="0" fontId="0" fillId="0" borderId="3" xfId="0" applyBorder="1"/>
    <xf numFmtId="0" fontId="2" fillId="0" borderId="5" xfId="0" applyFont="1" applyBorder="1" applyAlignment="1">
      <alignment horizontal="center" vertical="top" wrapText="1"/>
    </xf>
    <xf numFmtId="0" fontId="2" fillId="0" borderId="9" xfId="0" applyFont="1" applyBorder="1" applyAlignment="1">
      <alignment horizontal="center" vertical="top" wrapText="1"/>
    </xf>
    <xf numFmtId="0" fontId="2" fillId="0" borderId="10" xfId="0" applyFont="1" applyBorder="1" applyAlignment="1">
      <alignment horizontal="center" vertical="top" wrapText="1"/>
    </xf>
    <xf numFmtId="0" fontId="2" fillId="0" borderId="11" xfId="0" applyFont="1" applyBorder="1" applyAlignment="1">
      <alignment horizontal="center" vertical="top" wrapText="1"/>
    </xf>
    <xf numFmtId="0" fontId="2" fillId="0" borderId="12" xfId="0" applyFont="1" applyBorder="1" applyAlignment="1">
      <alignment horizontal="center" vertical="top" wrapText="1"/>
    </xf>
    <xf numFmtId="0" fontId="0" fillId="2" borderId="13" xfId="0" applyFill="1" applyBorder="1" applyAlignment="1">
      <alignment horizontal="center"/>
    </xf>
    <xf numFmtId="0" fontId="0" fillId="0" borderId="14" xfId="0" applyBorder="1"/>
    <xf numFmtId="0" fontId="0" fillId="0" borderId="14" xfId="0" applyFill="1" applyBorder="1"/>
    <xf numFmtId="0" fontId="0" fillId="0" borderId="14" xfId="0" applyNumberFormat="1" applyFill="1" applyBorder="1" applyAlignment="1">
      <alignment horizontal="right"/>
    </xf>
    <xf numFmtId="0" fontId="0" fillId="0" borderId="23" xfId="0" applyFill="1" applyBorder="1"/>
    <xf numFmtId="0" fontId="0" fillId="0" borderId="19" xfId="0" applyFill="1" applyBorder="1"/>
    <xf numFmtId="0" fontId="0" fillId="0" borderId="14" xfId="0" applyBorder="1" applyAlignment="1">
      <alignment wrapText="1"/>
    </xf>
    <xf numFmtId="0" fontId="0" fillId="0" borderId="0" xfId="0" applyAlignment="1">
      <alignment wrapText="1"/>
    </xf>
    <xf numFmtId="0" fontId="1" fillId="0" borderId="14" xfId="0" applyFont="1" applyBorder="1" applyAlignment="1">
      <alignment wrapText="1"/>
    </xf>
    <xf numFmtId="0" fontId="2" fillId="3" borderId="14" xfId="0" applyFont="1" applyFill="1" applyBorder="1" applyAlignment="1">
      <alignment wrapText="1"/>
    </xf>
    <xf numFmtId="0" fontId="2" fillId="0" borderId="0" xfId="0" applyNumberFormat="1" applyFont="1" applyBorder="1" applyAlignment="1">
      <alignment horizontal="right"/>
    </xf>
    <xf numFmtId="0" fontId="0" fillId="5" borderId="5" xfId="0" applyFill="1" applyBorder="1" applyAlignment="1">
      <alignment horizontal="right"/>
    </xf>
    <xf numFmtId="0" fontId="0" fillId="5" borderId="6" xfId="0" applyFill="1" applyBorder="1" applyAlignment="1">
      <alignment horizontal="right"/>
    </xf>
    <xf numFmtId="0" fontId="0" fillId="6" borderId="0" xfId="0" applyFill="1"/>
    <xf numFmtId="0" fontId="0" fillId="6" borderId="0" xfId="0" applyNumberFormat="1" applyFill="1" applyBorder="1" applyAlignment="1">
      <alignment horizontal="right"/>
    </xf>
    <xf numFmtId="0" fontId="4" fillId="0" borderId="0" xfId="0" applyFont="1"/>
    <xf numFmtId="0" fontId="1" fillId="0" borderId="14" xfId="0" applyFont="1" applyBorder="1"/>
    <xf numFmtId="0" fontId="1" fillId="0" borderId="34" xfId="0" applyFont="1" applyFill="1" applyBorder="1"/>
    <xf numFmtId="0" fontId="1" fillId="0" borderId="23" xfId="0" applyFont="1" applyFill="1" applyBorder="1"/>
    <xf numFmtId="0" fontId="0" fillId="0" borderId="28" xfId="0" applyNumberFormat="1" applyBorder="1" applyAlignment="1">
      <alignment horizontal="right"/>
    </xf>
    <xf numFmtId="0" fontId="0" fillId="0" borderId="29" xfId="0" applyNumberFormat="1" applyBorder="1" applyAlignment="1">
      <alignment horizontal="right"/>
    </xf>
    <xf numFmtId="0" fontId="0" fillId="0" borderId="30" xfId="0" applyNumberFormat="1" applyBorder="1" applyAlignment="1">
      <alignment horizontal="right"/>
    </xf>
    <xf numFmtId="0" fontId="0" fillId="0" borderId="18" xfId="0" applyBorder="1" applyAlignment="1">
      <alignment horizontal="center"/>
    </xf>
    <xf numFmtId="0" fontId="0" fillId="0" borderId="14" xfId="0" applyBorder="1" applyAlignment="1">
      <alignment horizontal="center"/>
    </xf>
    <xf numFmtId="0" fontId="0" fillId="0" borderId="19" xfId="0" applyBorder="1" applyAlignment="1">
      <alignment horizontal="center"/>
    </xf>
    <xf numFmtId="0" fontId="0" fillId="0" borderId="31" xfId="0" applyNumberFormat="1" applyBorder="1" applyAlignment="1">
      <alignment horizontal="right"/>
    </xf>
    <xf numFmtId="0" fontId="0" fillId="0" borderId="32" xfId="0" applyNumberFormat="1" applyBorder="1" applyAlignment="1">
      <alignment horizontal="right"/>
    </xf>
    <xf numFmtId="0" fontId="0" fillId="0" borderId="33" xfId="0" applyNumberFormat="1" applyBorder="1" applyAlignment="1">
      <alignment horizontal="right"/>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28" xfId="0" applyNumberFormat="1" applyFill="1" applyBorder="1" applyAlignment="1">
      <alignment horizontal="right"/>
    </xf>
    <xf numFmtId="0" fontId="0" fillId="0" borderId="29" xfId="0" applyNumberFormat="1" applyFill="1" applyBorder="1" applyAlignment="1">
      <alignment horizontal="right"/>
    </xf>
    <xf numFmtId="0" fontId="0" fillId="0" borderId="30" xfId="0" applyNumberFormat="1" applyFill="1" applyBorder="1" applyAlignment="1">
      <alignment horizontal="right"/>
    </xf>
    <xf numFmtId="9" fontId="0" fillId="0" borderId="18" xfId="1" applyFont="1" applyFill="1" applyBorder="1" applyAlignment="1">
      <alignment horizontal="center"/>
    </xf>
    <xf numFmtId="9" fontId="0" fillId="0" borderId="14" xfId="1" applyFont="1" applyFill="1" applyBorder="1" applyAlignment="1">
      <alignment horizontal="center"/>
    </xf>
    <xf numFmtId="9" fontId="0" fillId="0" borderId="19" xfId="1" applyFont="1" applyFill="1" applyBorder="1" applyAlignment="1">
      <alignment horizontal="center"/>
    </xf>
    <xf numFmtId="0" fontId="0" fillId="6" borderId="28" xfId="0" applyNumberFormat="1" applyFill="1" applyBorder="1" applyAlignment="1">
      <alignment horizontal="right"/>
    </xf>
    <xf numFmtId="0" fontId="0" fillId="6" borderId="29" xfId="0" applyNumberFormat="1" applyFill="1" applyBorder="1" applyAlignment="1">
      <alignment horizontal="right"/>
    </xf>
    <xf numFmtId="0" fontId="0" fillId="6" borderId="30" xfId="0" applyNumberFormat="1" applyFill="1" applyBorder="1" applyAlignment="1">
      <alignment horizontal="right"/>
    </xf>
    <xf numFmtId="9" fontId="0" fillId="6" borderId="18" xfId="1" applyFont="1" applyFill="1" applyBorder="1" applyAlignment="1">
      <alignment horizontal="center"/>
    </xf>
    <xf numFmtId="9" fontId="0" fillId="6" borderId="14" xfId="1" applyFont="1" applyFill="1" applyBorder="1" applyAlignment="1">
      <alignment horizontal="center"/>
    </xf>
    <xf numFmtId="9" fontId="0" fillId="6" borderId="19" xfId="1" applyFont="1" applyFill="1" applyBorder="1" applyAlignment="1">
      <alignment horizontal="center"/>
    </xf>
    <xf numFmtId="0" fontId="0" fillId="5" borderId="25" xfId="0" applyNumberFormat="1" applyFill="1" applyBorder="1" applyAlignment="1">
      <alignment horizontal="right"/>
    </xf>
    <xf numFmtId="0" fontId="0" fillId="5" borderId="26" xfId="0" applyNumberFormat="1" applyFill="1" applyBorder="1" applyAlignment="1">
      <alignment horizontal="right"/>
    </xf>
    <xf numFmtId="0" fontId="0" fillId="5" borderId="27" xfId="0" applyNumberFormat="1" applyFill="1" applyBorder="1" applyAlignment="1">
      <alignment horizontal="right"/>
    </xf>
    <xf numFmtId="9" fontId="0" fillId="5" borderId="24" xfId="1" applyFont="1" applyFill="1" applyBorder="1" applyAlignment="1">
      <alignment horizontal="center"/>
    </xf>
    <xf numFmtId="9" fontId="0" fillId="5" borderId="21" xfId="1" applyFont="1" applyFill="1" applyBorder="1" applyAlignment="1">
      <alignment horizontal="center"/>
    </xf>
    <xf numFmtId="9" fontId="0" fillId="5" borderId="22" xfId="1" applyFont="1" applyFill="1" applyBorder="1" applyAlignment="1">
      <alignment horizontal="center"/>
    </xf>
    <xf numFmtId="0" fontId="1" fillId="0" borderId="23" xfId="0" applyFont="1" applyBorder="1" applyAlignment="1">
      <alignment horizontal="center"/>
    </xf>
    <xf numFmtId="14" fontId="1" fillId="0" borderId="31" xfId="0" applyNumberFormat="1" applyFont="1" applyBorder="1" applyAlignment="1">
      <alignment horizontal="center"/>
    </xf>
    <xf numFmtId="14" fontId="0" fillId="0" borderId="32" xfId="0" applyNumberFormat="1" applyBorder="1" applyAlignment="1">
      <alignment horizontal="center"/>
    </xf>
    <xf numFmtId="14" fontId="0" fillId="0" borderId="33" xfId="0" applyNumberFormat="1" applyBorder="1" applyAlignment="1">
      <alignment horizontal="center"/>
    </xf>
    <xf numFmtId="0" fontId="3" fillId="4" borderId="25" xfId="0" applyNumberFormat="1" applyFont="1" applyFill="1" applyBorder="1" applyAlignment="1">
      <alignment horizontal="right"/>
    </xf>
    <xf numFmtId="0" fontId="3" fillId="4" borderId="26" xfId="0" applyNumberFormat="1" applyFont="1" applyFill="1" applyBorder="1" applyAlignment="1">
      <alignment horizontal="right"/>
    </xf>
    <xf numFmtId="0" fontId="3" fillId="4" borderId="27" xfId="0" applyNumberFormat="1" applyFont="1" applyFill="1" applyBorder="1" applyAlignment="1">
      <alignment horizontal="right"/>
    </xf>
    <xf numFmtId="0" fontId="3" fillId="4" borderId="28" xfId="0" applyNumberFormat="1" applyFont="1" applyFill="1" applyBorder="1" applyAlignment="1">
      <alignment horizontal="right" wrapText="1"/>
    </xf>
    <xf numFmtId="0" fontId="3" fillId="4" borderId="29" xfId="0" applyNumberFormat="1" applyFont="1" applyFill="1" applyBorder="1" applyAlignment="1">
      <alignment horizontal="right" wrapText="1"/>
    </xf>
    <xf numFmtId="0" fontId="3" fillId="4" borderId="30" xfId="0" applyNumberFormat="1" applyFont="1" applyFill="1" applyBorder="1" applyAlignment="1">
      <alignment horizontal="right" wrapText="1"/>
    </xf>
    <xf numFmtId="0" fontId="1" fillId="0" borderId="25" xfId="0" applyNumberFormat="1" applyFont="1" applyBorder="1" applyAlignment="1">
      <alignment horizontal="right"/>
    </xf>
    <xf numFmtId="0" fontId="0" fillId="0" borderId="26" xfId="0" applyNumberFormat="1" applyBorder="1" applyAlignment="1">
      <alignment horizontal="right"/>
    </xf>
    <xf numFmtId="0" fontId="0" fillId="0" borderId="27" xfId="0" applyNumberFormat="1" applyBorder="1" applyAlignment="1">
      <alignment horizontal="right"/>
    </xf>
    <xf numFmtId="0" fontId="1" fillId="0" borderId="20" xfId="0" applyFont="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3" fillId="4" borderId="28" xfId="0" applyNumberFormat="1" applyFont="1" applyFill="1" applyBorder="1" applyAlignment="1">
      <alignment horizontal="right"/>
    </xf>
    <xf numFmtId="0" fontId="3" fillId="4" borderId="29" xfId="0" applyNumberFormat="1" applyFont="1" applyFill="1" applyBorder="1" applyAlignment="1">
      <alignment horizontal="right"/>
    </xf>
    <xf numFmtId="0" fontId="3" fillId="4" borderId="30" xfId="0" applyNumberFormat="1" applyFont="1" applyFill="1" applyBorder="1" applyAlignment="1">
      <alignment horizontal="right"/>
    </xf>
    <xf numFmtId="0" fontId="5" fillId="0" borderId="0" xfId="0" applyFont="1"/>
  </cellXfs>
  <cellStyles count="2">
    <cellStyle name="Normal" xfId="0" builtinId="0"/>
    <cellStyle name="Percent" xfId="1" builtinId="5"/>
  </cellStyles>
  <dxfs count="14">
    <dxf>
      <fill>
        <patternFill>
          <bgColor indexed="49"/>
        </patternFill>
      </fill>
    </dxf>
    <dxf>
      <font>
        <condense val="0"/>
        <extend val="0"/>
        <color indexed="13"/>
      </font>
      <fill>
        <patternFill>
          <bgColor indexed="10"/>
        </patternFill>
      </fill>
    </dxf>
    <dxf>
      <fill>
        <patternFill>
          <bgColor indexed="49"/>
        </patternFill>
      </fill>
    </dxf>
    <dxf>
      <font>
        <condense val="0"/>
        <extend val="0"/>
        <color indexed="13"/>
      </font>
      <fill>
        <patternFill>
          <bgColor indexed="10"/>
        </patternFill>
      </fill>
    </dxf>
    <dxf>
      <fill>
        <patternFill>
          <bgColor indexed="49"/>
        </patternFill>
      </fill>
    </dxf>
    <dxf>
      <font>
        <condense val="0"/>
        <extend val="0"/>
        <color indexed="13"/>
      </font>
      <fill>
        <patternFill>
          <bgColor indexed="10"/>
        </patternFill>
      </fill>
    </dxf>
    <dxf>
      <fill>
        <patternFill>
          <bgColor indexed="49"/>
        </patternFill>
      </fill>
    </dxf>
    <dxf>
      <font>
        <condense val="0"/>
        <extend val="0"/>
        <color indexed="13"/>
      </font>
      <fill>
        <patternFill>
          <bgColor indexed="10"/>
        </patternFill>
      </fill>
    </dxf>
    <dxf>
      <fill>
        <patternFill>
          <bgColor indexed="43"/>
        </patternFill>
      </fill>
    </dxf>
    <dxf>
      <font>
        <condense val="0"/>
        <extend val="0"/>
        <color indexed="13"/>
      </font>
      <fill>
        <patternFill>
          <bgColor indexed="10"/>
        </patternFill>
      </fill>
    </dxf>
    <dxf>
      <fill>
        <patternFill>
          <bgColor indexed="43"/>
        </patternFill>
      </fill>
    </dxf>
    <dxf>
      <font>
        <condense val="0"/>
        <extend val="0"/>
        <color indexed="13"/>
      </font>
      <fill>
        <patternFill>
          <bgColor indexed="10"/>
        </patternFill>
      </fill>
    </dxf>
    <dxf>
      <fill>
        <patternFill>
          <bgColor indexed="43"/>
        </patternFill>
      </fill>
    </dxf>
    <dxf>
      <font>
        <condense val="0"/>
        <extend val="0"/>
        <color indexed="13"/>
      </font>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K69"/>
  <sheetViews>
    <sheetView tabSelected="1" zoomScale="85" zoomScaleNormal="85" workbookViewId="0">
      <selection activeCell="E28" sqref="E28"/>
    </sheetView>
  </sheetViews>
  <sheetFormatPr defaultRowHeight="12.75" x14ac:dyDescent="0.2"/>
  <cols>
    <col min="1" max="1" width="14.85546875" customWidth="1"/>
    <col min="2" max="2" width="9.140625" customWidth="1"/>
    <col min="3" max="3" width="8.7109375" style="2" bestFit="1" customWidth="1"/>
    <col min="4" max="4" width="12.85546875" style="2" customWidth="1"/>
    <col min="5" max="5" width="21.85546875" style="2" customWidth="1"/>
    <col min="6" max="6" width="7.7109375" customWidth="1"/>
    <col min="7" max="7" width="8.7109375" customWidth="1"/>
    <col min="8" max="8" width="57.7109375" customWidth="1"/>
  </cols>
  <sheetData>
    <row r="1" spans="1:219" x14ac:dyDescent="0.2">
      <c r="C1" s="77" t="s">
        <v>32</v>
      </c>
      <c r="D1" s="78"/>
      <c r="E1" s="79"/>
    </row>
    <row r="2" spans="1:219" ht="33" customHeight="1" x14ac:dyDescent="0.2">
      <c r="C2" s="89" t="s">
        <v>35</v>
      </c>
      <c r="D2" s="90"/>
      <c r="E2" s="91"/>
    </row>
    <row r="3" spans="1:219" ht="39" customHeight="1" x14ac:dyDescent="0.2">
      <c r="C3" s="80" t="s">
        <v>18</v>
      </c>
      <c r="D3" s="81"/>
      <c r="E3" s="82"/>
    </row>
    <row r="4" spans="1:219" ht="18" customHeight="1" thickBot="1" x14ac:dyDescent="0.25">
      <c r="C4" s="34"/>
      <c r="D4" s="34"/>
      <c r="E4" s="34"/>
    </row>
    <row r="5" spans="1:219" x14ac:dyDescent="0.2">
      <c r="A5" s="9"/>
      <c r="B5" s="10"/>
      <c r="C5" s="83" t="s">
        <v>30</v>
      </c>
      <c r="D5" s="84"/>
      <c r="E5" s="85"/>
      <c r="F5" s="86" t="s">
        <v>33</v>
      </c>
      <c r="G5" s="87"/>
      <c r="H5" s="88"/>
    </row>
    <row r="6" spans="1:219" x14ac:dyDescent="0.2">
      <c r="A6" s="11"/>
      <c r="B6" s="12"/>
      <c r="C6" s="43" t="s">
        <v>0</v>
      </c>
      <c r="D6" s="44"/>
      <c r="E6" s="45"/>
      <c r="F6" s="73" t="s">
        <v>34</v>
      </c>
      <c r="G6" s="47"/>
      <c r="H6" s="48"/>
    </row>
    <row r="7" spans="1:219" ht="13.5" thickBot="1" x14ac:dyDescent="0.25">
      <c r="A7" s="18"/>
      <c r="B7" s="17"/>
      <c r="C7" s="49" t="s">
        <v>1</v>
      </c>
      <c r="D7" s="50"/>
      <c r="E7" s="51"/>
      <c r="F7" s="74">
        <v>45554</v>
      </c>
      <c r="G7" s="75"/>
      <c r="H7" s="76"/>
    </row>
    <row r="8" spans="1:219" ht="13.5" thickBot="1" x14ac:dyDescent="0.25">
      <c r="F8" s="1"/>
      <c r="G8" s="1"/>
      <c r="H8" s="1"/>
    </row>
    <row r="9" spans="1:219" s="3" customFormat="1" x14ac:dyDescent="0.2">
      <c r="A9" s="35"/>
      <c r="B9" s="36"/>
      <c r="C9" s="67" t="s">
        <v>8</v>
      </c>
      <c r="D9" s="68"/>
      <c r="E9" s="69"/>
      <c r="F9" s="70">
        <f>IF(F17=0, 0, F13/F17)</f>
        <v>0.64516129032258063</v>
      </c>
      <c r="G9" s="71"/>
      <c r="H9" s="72"/>
    </row>
    <row r="10" spans="1:219" s="3" customFormat="1" x14ac:dyDescent="0.2">
      <c r="A10" s="13"/>
      <c r="B10" s="14"/>
      <c r="C10" s="55" t="s">
        <v>13</v>
      </c>
      <c r="D10" s="56"/>
      <c r="E10" s="57"/>
      <c r="F10" s="58">
        <f>IF(F17=0, 0,(F17-F16)/F17)</f>
        <v>0.87096774193548387</v>
      </c>
      <c r="G10" s="59"/>
      <c r="H10" s="60"/>
    </row>
    <row r="11" spans="1:219" s="3" customFormat="1" x14ac:dyDescent="0.2">
      <c r="A11" s="13"/>
      <c r="B11" s="14"/>
      <c r="C11" s="55" t="s">
        <v>9</v>
      </c>
      <c r="D11" s="56"/>
      <c r="E11" s="57"/>
      <c r="F11" s="58">
        <f>IF((F13+F14+F15)=0,0,F13/(F13+F14+F15))</f>
        <v>0.7142857142857143</v>
      </c>
      <c r="G11" s="59"/>
      <c r="H11" s="60"/>
    </row>
    <row r="12" spans="1:219" s="3" customFormat="1" x14ac:dyDescent="0.2">
      <c r="A12" s="37"/>
      <c r="B12" s="38"/>
      <c r="C12" s="61" t="s">
        <v>10</v>
      </c>
      <c r="D12" s="62"/>
      <c r="E12" s="63"/>
      <c r="F12" s="64">
        <f>IF((F13+F15)=0,0,F13/(F13+F15))</f>
        <v>0.90909090909090906</v>
      </c>
      <c r="G12" s="65"/>
      <c r="H12" s="66"/>
    </row>
    <row r="13" spans="1:219" x14ac:dyDescent="0.2">
      <c r="A13" s="11"/>
      <c r="B13" s="12"/>
      <c r="C13" s="43" t="s">
        <v>11</v>
      </c>
      <c r="D13" s="44"/>
      <c r="E13" s="45"/>
      <c r="F13" s="46">
        <f>COUNTIF(F20:F52,"=pass")</f>
        <v>20</v>
      </c>
      <c r="G13" s="47"/>
      <c r="H13" s="48"/>
      <c r="HG13" t="s">
        <v>14</v>
      </c>
      <c r="HH13" t="s">
        <v>18</v>
      </c>
      <c r="HI13" t="s">
        <v>16</v>
      </c>
      <c r="HJ13" t="s">
        <v>17</v>
      </c>
      <c r="HK13" t="s">
        <v>15</v>
      </c>
    </row>
    <row r="14" spans="1:219" x14ac:dyDescent="0.2">
      <c r="A14" s="11"/>
      <c r="B14" s="12"/>
      <c r="C14" s="43" t="s">
        <v>6</v>
      </c>
      <c r="D14" s="44"/>
      <c r="E14" s="45"/>
      <c r="F14" s="46">
        <f>COUNTIF(F20:F52,"=BLK")</f>
        <v>6</v>
      </c>
      <c r="G14" s="47"/>
      <c r="H14" s="48"/>
      <c r="HG14" t="s">
        <v>14</v>
      </c>
      <c r="HH14" t="s">
        <v>18</v>
      </c>
      <c r="HI14" t="s">
        <v>16</v>
      </c>
      <c r="HJ14" t="s">
        <v>17</v>
      </c>
      <c r="HK14" t="s">
        <v>15</v>
      </c>
    </row>
    <row r="15" spans="1:219" x14ac:dyDescent="0.2">
      <c r="A15" s="11"/>
      <c r="B15" s="12"/>
      <c r="C15" s="43" t="s">
        <v>12</v>
      </c>
      <c r="D15" s="44"/>
      <c r="E15" s="45"/>
      <c r="F15" s="46">
        <f>COUNTIF(F20:F52,"=fail")</f>
        <v>2</v>
      </c>
      <c r="G15" s="47"/>
      <c r="H15" s="48"/>
      <c r="HG15" t="s">
        <v>14</v>
      </c>
      <c r="HH15" t="s">
        <v>18</v>
      </c>
      <c r="HI15" t="s">
        <v>16</v>
      </c>
      <c r="HJ15" t="s">
        <v>17</v>
      </c>
      <c r="HK15" t="s">
        <v>15</v>
      </c>
    </row>
    <row r="16" spans="1:219" x14ac:dyDescent="0.2">
      <c r="A16" s="11"/>
      <c r="B16" s="12"/>
      <c r="C16" s="43" t="s">
        <v>4</v>
      </c>
      <c r="D16" s="44"/>
      <c r="E16" s="45"/>
      <c r="F16" s="46">
        <f>COUNTIF(F20:F51,"=")+COUNTIF(F20:F51,"Not Run")</f>
        <v>4</v>
      </c>
      <c r="G16" s="47"/>
      <c r="H16" s="48"/>
      <c r="HG16" t="s">
        <v>14</v>
      </c>
      <c r="HH16" t="s">
        <v>18</v>
      </c>
      <c r="HI16" t="s">
        <v>16</v>
      </c>
      <c r="HJ16" t="s">
        <v>17</v>
      </c>
      <c r="HK16" t="s">
        <v>15</v>
      </c>
    </row>
    <row r="17" spans="1:219" ht="13.5" thickBot="1" x14ac:dyDescent="0.25">
      <c r="A17" s="15"/>
      <c r="B17" s="16"/>
      <c r="C17" s="49" t="s">
        <v>5</v>
      </c>
      <c r="D17" s="50"/>
      <c r="E17" s="51"/>
      <c r="F17" s="52">
        <f>COUNTA($C$20:$C$52)-COUNTIF(F20:F52,"=N/A")</f>
        <v>31</v>
      </c>
      <c r="G17" s="53"/>
      <c r="H17" s="54"/>
      <c r="HG17" t="s">
        <v>14</v>
      </c>
      <c r="HH17" t="s">
        <v>18</v>
      </c>
      <c r="HI17" t="s">
        <v>16</v>
      </c>
      <c r="HJ17" t="s">
        <v>17</v>
      </c>
      <c r="HK17" t="s">
        <v>15</v>
      </c>
    </row>
    <row r="18" spans="1:219" ht="29.25" hidden="1" customHeight="1" x14ac:dyDescent="0.2">
      <c r="D18" s="2">
        <f>COUNTIF(D20:D51,"Y")</f>
        <v>0</v>
      </c>
      <c r="E18" s="2">
        <f>COUNTIF(E20:E51,"Y")</f>
        <v>0</v>
      </c>
      <c r="F18" s="1"/>
      <c r="G18" s="1"/>
      <c r="H18" s="1"/>
    </row>
    <row r="19" spans="1:219" ht="24.75" customHeight="1" x14ac:dyDescent="0.2">
      <c r="A19" t="s">
        <v>20</v>
      </c>
      <c r="B19" t="s">
        <v>21</v>
      </c>
      <c r="C19" s="19" t="s">
        <v>23</v>
      </c>
      <c r="D19" s="19" t="s">
        <v>7</v>
      </c>
      <c r="E19" s="20" t="s">
        <v>7</v>
      </c>
      <c r="F19" s="21" t="s">
        <v>2</v>
      </c>
      <c r="G19" s="22" t="s">
        <v>19</v>
      </c>
      <c r="H19" s="23" t="s">
        <v>3</v>
      </c>
      <c r="HG19" t="s">
        <v>14</v>
      </c>
      <c r="HH19" t="s">
        <v>18</v>
      </c>
      <c r="HI19" t="s">
        <v>16</v>
      </c>
      <c r="HJ19" t="s">
        <v>17</v>
      </c>
      <c r="HK19" t="s">
        <v>15</v>
      </c>
    </row>
    <row r="20" spans="1:219" x14ac:dyDescent="0.2">
      <c r="A20" s="25" t="s">
        <v>22</v>
      </c>
      <c r="B20" s="25">
        <v>1</v>
      </c>
      <c r="C20" s="39" t="s">
        <v>36</v>
      </c>
      <c r="D20" s="26"/>
      <c r="E20" s="27"/>
      <c r="F20" s="28" t="s">
        <v>16</v>
      </c>
      <c r="G20" s="26"/>
      <c r="H20" s="29"/>
      <c r="HG20" t="s">
        <v>14</v>
      </c>
      <c r="HH20" t="s">
        <v>18</v>
      </c>
      <c r="HI20" t="s">
        <v>16</v>
      </c>
      <c r="HJ20" t="s">
        <v>17</v>
      </c>
      <c r="HK20" t="s">
        <v>15</v>
      </c>
    </row>
    <row r="21" spans="1:219" x14ac:dyDescent="0.2">
      <c r="A21" s="25" t="s">
        <v>22</v>
      </c>
      <c r="B21" s="25">
        <v>2</v>
      </c>
      <c r="C21" s="39" t="s">
        <v>37</v>
      </c>
      <c r="D21" s="26"/>
      <c r="E21" s="25"/>
      <c r="F21" s="28" t="s">
        <v>16</v>
      </c>
      <c r="G21" s="26"/>
      <c r="H21" s="29"/>
      <c r="HG21" t="s">
        <v>14</v>
      </c>
      <c r="HH21" t="s">
        <v>18</v>
      </c>
      <c r="HI21" t="s">
        <v>16</v>
      </c>
      <c r="HJ21" t="s">
        <v>17</v>
      </c>
      <c r="HK21" t="s">
        <v>15</v>
      </c>
    </row>
    <row r="22" spans="1:219" s="25" customFormat="1" x14ac:dyDescent="0.2">
      <c r="A22" s="25" t="s">
        <v>22</v>
      </c>
      <c r="B22" s="25">
        <v>3</v>
      </c>
      <c r="C22" s="39" t="s">
        <v>38</v>
      </c>
      <c r="F22" s="28" t="s">
        <v>16</v>
      </c>
    </row>
    <row r="23" spans="1:219" s="25" customFormat="1" x14ac:dyDescent="0.2">
      <c r="A23" s="25" t="s">
        <v>22</v>
      </c>
      <c r="B23" s="25">
        <v>4</v>
      </c>
      <c r="C23" s="39" t="s">
        <v>39</v>
      </c>
      <c r="F23" s="28" t="s">
        <v>16</v>
      </c>
    </row>
    <row r="24" spans="1:219" s="25" customFormat="1" x14ac:dyDescent="0.2">
      <c r="A24" s="25" t="s">
        <v>22</v>
      </c>
      <c r="B24" s="25">
        <v>5</v>
      </c>
      <c r="C24" s="39" t="s">
        <v>40</v>
      </c>
      <c r="F24" s="28" t="s">
        <v>16</v>
      </c>
    </row>
    <row r="25" spans="1:219" s="25" customFormat="1" x14ac:dyDescent="0.2">
      <c r="A25" s="25" t="s">
        <v>22</v>
      </c>
      <c r="B25" s="25">
        <v>6</v>
      </c>
      <c r="C25" s="39" t="s">
        <v>41</v>
      </c>
      <c r="F25" s="28" t="s">
        <v>16</v>
      </c>
    </row>
    <row r="26" spans="1:219" s="25" customFormat="1" x14ac:dyDescent="0.2">
      <c r="A26" s="25" t="s">
        <v>22</v>
      </c>
      <c r="B26" s="25">
        <v>7</v>
      </c>
      <c r="C26" s="39" t="s">
        <v>42</v>
      </c>
      <c r="F26" s="28" t="s">
        <v>16</v>
      </c>
      <c r="H26" t="s">
        <v>51</v>
      </c>
    </row>
    <row r="27" spans="1:219" s="25" customFormat="1" x14ac:dyDescent="0.2">
      <c r="A27" s="25" t="s">
        <v>22</v>
      </c>
      <c r="B27" s="25">
        <v>8</v>
      </c>
      <c r="C27" s="39" t="s">
        <v>43</v>
      </c>
      <c r="F27" s="28" t="s">
        <v>16</v>
      </c>
    </row>
    <row r="28" spans="1:219" x14ac:dyDescent="0.2">
      <c r="A28" s="25" t="s">
        <v>22</v>
      </c>
      <c r="B28" s="25">
        <v>9</v>
      </c>
      <c r="C28" s="39" t="s">
        <v>44</v>
      </c>
      <c r="D28" s="26"/>
      <c r="E28" s="25"/>
      <c r="F28" s="28" t="s">
        <v>16</v>
      </c>
      <c r="G28" s="26"/>
    </row>
    <row r="29" spans="1:219" x14ac:dyDescent="0.2">
      <c r="A29" s="25" t="s">
        <v>22</v>
      </c>
      <c r="B29" s="25">
        <v>10</v>
      </c>
      <c r="C29" s="39" t="s">
        <v>45</v>
      </c>
      <c r="D29" s="26"/>
      <c r="E29" s="25"/>
      <c r="F29" s="28" t="s">
        <v>16</v>
      </c>
      <c r="G29" s="26"/>
      <c r="H29" s="29"/>
    </row>
    <row r="30" spans="1:219" x14ac:dyDescent="0.2">
      <c r="A30" s="25" t="s">
        <v>22</v>
      </c>
      <c r="B30" s="25">
        <v>11</v>
      </c>
      <c r="C30" s="39" t="s">
        <v>46</v>
      </c>
      <c r="D30" s="26"/>
      <c r="E30" s="25"/>
      <c r="F30" s="28" t="s">
        <v>17</v>
      </c>
      <c r="G30" s="26"/>
      <c r="H30" s="29" t="s">
        <v>52</v>
      </c>
    </row>
    <row r="31" spans="1:219" x14ac:dyDescent="0.2">
      <c r="A31" s="25" t="s">
        <v>22</v>
      </c>
      <c r="B31" s="25">
        <v>12</v>
      </c>
      <c r="C31" s="39" t="s">
        <v>47</v>
      </c>
      <c r="D31" s="26"/>
      <c r="E31" s="25"/>
      <c r="F31" s="28" t="s">
        <v>16</v>
      </c>
      <c r="G31" s="26"/>
      <c r="H31" s="29"/>
    </row>
    <row r="32" spans="1:219" x14ac:dyDescent="0.2">
      <c r="A32" s="25" t="s">
        <v>24</v>
      </c>
      <c r="B32" s="25">
        <v>1</v>
      </c>
      <c r="C32" s="25" t="str">
        <f t="shared" ref="C32:C37" si="0">CONCATENATE(A32,"-",B32)</f>
        <v>US-1</v>
      </c>
      <c r="D32" s="26"/>
      <c r="E32" s="25"/>
      <c r="F32" s="28" t="s">
        <v>16</v>
      </c>
      <c r="G32" s="26"/>
      <c r="H32" s="29"/>
      <c r="HG32" t="s">
        <v>14</v>
      </c>
      <c r="HH32" t="s">
        <v>18</v>
      </c>
      <c r="HI32" t="s">
        <v>16</v>
      </c>
      <c r="HJ32" t="s">
        <v>17</v>
      </c>
      <c r="HK32" t="s">
        <v>15</v>
      </c>
    </row>
    <row r="33" spans="1:219" x14ac:dyDescent="0.2">
      <c r="A33" s="25" t="s">
        <v>24</v>
      </c>
      <c r="B33" s="25">
        <v>2</v>
      </c>
      <c r="C33" s="25" t="str">
        <f t="shared" si="0"/>
        <v>US-2</v>
      </c>
      <c r="D33" s="26"/>
      <c r="E33" s="25"/>
      <c r="F33" s="28" t="s">
        <v>16</v>
      </c>
      <c r="G33" s="26"/>
      <c r="H33" s="29"/>
      <c r="HG33" t="s">
        <v>14</v>
      </c>
      <c r="HH33" t="s">
        <v>18</v>
      </c>
      <c r="HI33" t="s">
        <v>16</v>
      </c>
      <c r="HJ33" t="s">
        <v>17</v>
      </c>
      <c r="HK33" t="s">
        <v>15</v>
      </c>
    </row>
    <row r="34" spans="1:219" x14ac:dyDescent="0.2">
      <c r="A34" s="40" t="s">
        <v>24</v>
      </c>
      <c r="B34" s="25">
        <v>3</v>
      </c>
      <c r="C34" s="25" t="str">
        <f t="shared" si="0"/>
        <v>US-3</v>
      </c>
      <c r="D34" s="26"/>
      <c r="E34" s="25"/>
      <c r="F34" s="28" t="s">
        <v>16</v>
      </c>
      <c r="G34" s="26"/>
      <c r="H34" s="29"/>
      <c r="HG34" t="s">
        <v>14</v>
      </c>
      <c r="HH34" t="s">
        <v>18</v>
      </c>
      <c r="HI34" t="s">
        <v>16</v>
      </c>
      <c r="HJ34" t="s">
        <v>17</v>
      </c>
      <c r="HK34" t="s">
        <v>15</v>
      </c>
    </row>
    <row r="35" spans="1:219" x14ac:dyDescent="0.2">
      <c r="A35" s="40" t="s">
        <v>24</v>
      </c>
      <c r="B35" s="25">
        <v>4</v>
      </c>
      <c r="C35" s="25" t="str">
        <f t="shared" si="0"/>
        <v>US-4</v>
      </c>
      <c r="D35" s="26"/>
      <c r="E35" s="25"/>
      <c r="F35" s="28" t="s">
        <v>16</v>
      </c>
      <c r="G35" s="26"/>
      <c r="H35" s="29"/>
      <c r="HG35" t="s">
        <v>14</v>
      </c>
      <c r="HH35" t="s">
        <v>18</v>
      </c>
      <c r="HI35" t="s">
        <v>16</v>
      </c>
      <c r="HJ35" t="s">
        <v>17</v>
      </c>
      <c r="HK35" t="s">
        <v>15</v>
      </c>
    </row>
    <row r="36" spans="1:219" x14ac:dyDescent="0.2">
      <c r="A36" s="40" t="s">
        <v>24</v>
      </c>
      <c r="B36" s="25">
        <v>5</v>
      </c>
      <c r="C36" s="25" t="str">
        <f t="shared" si="0"/>
        <v>US-5</v>
      </c>
      <c r="D36" s="26"/>
      <c r="E36" s="25"/>
      <c r="F36" s="28" t="s">
        <v>16</v>
      </c>
      <c r="G36" s="26"/>
      <c r="H36" s="29"/>
      <c r="HG36" t="s">
        <v>14</v>
      </c>
      <c r="HH36" t="s">
        <v>18</v>
      </c>
      <c r="HI36" t="s">
        <v>16</v>
      </c>
      <c r="HJ36" t="s">
        <v>17</v>
      </c>
      <c r="HK36" t="s">
        <v>15</v>
      </c>
    </row>
    <row r="37" spans="1:219" x14ac:dyDescent="0.2">
      <c r="A37" s="25" t="s">
        <v>26</v>
      </c>
      <c r="B37" s="25">
        <v>2</v>
      </c>
      <c r="C37" s="25" t="str">
        <f t="shared" si="0"/>
        <v>BC-2</v>
      </c>
      <c r="D37" s="26"/>
      <c r="E37" s="25"/>
      <c r="F37" s="28" t="s">
        <v>16</v>
      </c>
      <c r="G37" s="26"/>
      <c r="H37" s="29"/>
      <c r="HG37" t="s">
        <v>14</v>
      </c>
      <c r="HH37" t="s">
        <v>18</v>
      </c>
      <c r="HI37" t="s">
        <v>16</v>
      </c>
      <c r="HJ37" t="s">
        <v>17</v>
      </c>
      <c r="HK37" t="s">
        <v>15</v>
      </c>
    </row>
    <row r="38" spans="1:219" x14ac:dyDescent="0.2">
      <c r="A38" s="25" t="s">
        <v>26</v>
      </c>
      <c r="B38" s="25">
        <v>3</v>
      </c>
      <c r="C38" s="25" t="str">
        <f t="shared" ref="C38:C50" si="1">CONCATENATE(A38,"-",B38)</f>
        <v>BC-3</v>
      </c>
      <c r="D38" s="26"/>
      <c r="E38" s="25"/>
      <c r="F38" s="28" t="s">
        <v>14</v>
      </c>
      <c r="G38" s="26"/>
      <c r="H38" s="29"/>
    </row>
    <row r="39" spans="1:219" x14ac:dyDescent="0.2">
      <c r="A39" s="40" t="s">
        <v>48</v>
      </c>
      <c r="B39" s="25">
        <v>1</v>
      </c>
      <c r="C39" s="25" t="str">
        <f t="shared" si="1"/>
        <v>Scale-1</v>
      </c>
      <c r="D39" s="26"/>
      <c r="E39" s="25"/>
      <c r="F39" s="42" t="s">
        <v>15</v>
      </c>
      <c r="G39" s="26"/>
      <c r="H39" s="29"/>
    </row>
    <row r="40" spans="1:219" x14ac:dyDescent="0.2">
      <c r="A40" s="40" t="s">
        <v>48</v>
      </c>
      <c r="B40" s="25">
        <v>2</v>
      </c>
      <c r="C40" s="25" t="str">
        <f t="shared" si="1"/>
        <v>Scale-2</v>
      </c>
      <c r="D40" s="26"/>
      <c r="E40" s="25"/>
      <c r="F40" s="28" t="s">
        <v>15</v>
      </c>
      <c r="G40" s="26"/>
      <c r="H40" s="29"/>
    </row>
    <row r="41" spans="1:219" x14ac:dyDescent="0.2">
      <c r="A41" s="40" t="s">
        <v>48</v>
      </c>
      <c r="B41" s="25">
        <v>3</v>
      </c>
      <c r="C41" s="25" t="str">
        <f t="shared" si="1"/>
        <v>Scale-3</v>
      </c>
      <c r="D41" s="26"/>
      <c r="E41" s="25"/>
      <c r="F41" s="28" t="s">
        <v>15</v>
      </c>
      <c r="G41" s="26"/>
      <c r="H41" s="29"/>
    </row>
    <row r="42" spans="1:219" x14ac:dyDescent="0.2">
      <c r="A42" s="40" t="s">
        <v>49</v>
      </c>
      <c r="B42" s="25">
        <v>1</v>
      </c>
      <c r="C42" s="25" t="str">
        <f t="shared" si="1"/>
        <v>Performance-1</v>
      </c>
      <c r="D42" s="26"/>
      <c r="E42" s="25"/>
      <c r="F42" s="28" t="s">
        <v>15</v>
      </c>
      <c r="G42" s="26"/>
      <c r="H42" s="29"/>
    </row>
    <row r="43" spans="1:219" x14ac:dyDescent="0.2">
      <c r="A43" s="40" t="s">
        <v>49</v>
      </c>
      <c r="B43" s="25">
        <v>2</v>
      </c>
      <c r="C43" s="25" t="str">
        <f t="shared" si="1"/>
        <v>Performance-2</v>
      </c>
      <c r="D43" s="26"/>
      <c r="E43" s="25"/>
      <c r="F43" s="28" t="s">
        <v>15</v>
      </c>
      <c r="G43" s="26"/>
      <c r="H43" s="29"/>
    </row>
    <row r="44" spans="1:219" x14ac:dyDescent="0.2">
      <c r="A44" s="40" t="s">
        <v>49</v>
      </c>
      <c r="B44" s="25">
        <v>3</v>
      </c>
      <c r="C44" s="25" t="str">
        <f t="shared" si="1"/>
        <v>Performance-3</v>
      </c>
      <c r="D44" s="26"/>
      <c r="E44" s="25"/>
      <c r="F44" s="28" t="s">
        <v>15</v>
      </c>
      <c r="G44" s="26"/>
      <c r="H44" s="29"/>
    </row>
    <row r="45" spans="1:219" x14ac:dyDescent="0.2">
      <c r="A45" s="41" t="s">
        <v>25</v>
      </c>
      <c r="B45" s="25">
        <v>1</v>
      </c>
      <c r="C45" s="25" t="str">
        <f t="shared" si="1"/>
        <v>SE-1</v>
      </c>
      <c r="D45" s="26"/>
      <c r="E45" s="25"/>
      <c r="F45" s="28" t="s">
        <v>17</v>
      </c>
      <c r="G45" s="26"/>
      <c r="H45" s="29" t="s">
        <v>53</v>
      </c>
    </row>
    <row r="46" spans="1:219" x14ac:dyDescent="0.2">
      <c r="A46" s="41" t="s">
        <v>25</v>
      </c>
      <c r="B46" s="25">
        <v>2</v>
      </c>
      <c r="C46" s="25" t="str">
        <f t="shared" si="1"/>
        <v>SE-2</v>
      </c>
      <c r="D46" s="26"/>
      <c r="E46" s="25"/>
      <c r="F46" s="28" t="s">
        <v>16</v>
      </c>
      <c r="G46" s="26"/>
      <c r="H46" s="29"/>
    </row>
    <row r="47" spans="1:219" x14ac:dyDescent="0.2">
      <c r="A47" s="41" t="s">
        <v>25</v>
      </c>
      <c r="B47" s="25">
        <v>3</v>
      </c>
      <c r="C47" s="25" t="str">
        <f t="shared" si="1"/>
        <v>SE-3</v>
      </c>
      <c r="D47" s="26"/>
      <c r="E47" s="25"/>
      <c r="F47" s="28" t="s">
        <v>14</v>
      </c>
      <c r="G47" s="26"/>
      <c r="H47" s="29"/>
    </row>
    <row r="48" spans="1:219" x14ac:dyDescent="0.2">
      <c r="A48" s="41" t="s">
        <v>25</v>
      </c>
      <c r="B48" s="25">
        <v>4</v>
      </c>
      <c r="C48" s="25" t="str">
        <f t="shared" si="1"/>
        <v>SE-4</v>
      </c>
      <c r="D48" s="26"/>
      <c r="E48" s="25"/>
      <c r="F48" s="28" t="s">
        <v>14</v>
      </c>
      <c r="G48" s="26"/>
      <c r="H48" s="29"/>
    </row>
    <row r="49" spans="1:219" x14ac:dyDescent="0.2">
      <c r="A49" s="40" t="s">
        <v>50</v>
      </c>
      <c r="B49" s="25">
        <v>1</v>
      </c>
      <c r="C49" s="25" t="str">
        <f t="shared" si="1"/>
        <v>C0-1</v>
      </c>
      <c r="D49" s="26"/>
      <c r="E49" s="25"/>
      <c r="F49" s="28" t="s">
        <v>16</v>
      </c>
      <c r="G49" s="26"/>
      <c r="H49" s="29"/>
    </row>
    <row r="50" spans="1:219" x14ac:dyDescent="0.2">
      <c r="A50" s="40" t="s">
        <v>50</v>
      </c>
      <c r="B50" s="25">
        <v>2</v>
      </c>
      <c r="C50" s="25" t="str">
        <f t="shared" si="1"/>
        <v>C0-2</v>
      </c>
      <c r="D50" s="26"/>
      <c r="E50" s="25"/>
      <c r="F50" s="28" t="s">
        <v>16</v>
      </c>
      <c r="G50" s="26"/>
      <c r="H50" s="29"/>
    </row>
    <row r="51" spans="1:219" x14ac:dyDescent="0.2">
      <c r="D51" s="26"/>
      <c r="E51" s="25"/>
      <c r="F51" s="28"/>
      <c r="G51" s="26"/>
      <c r="H51" s="29"/>
      <c r="HG51" t="s">
        <v>14</v>
      </c>
      <c r="HH51" t="s">
        <v>18</v>
      </c>
      <c r="HI51" t="s">
        <v>16</v>
      </c>
      <c r="HJ51" t="s">
        <v>17</v>
      </c>
      <c r="HK51" t="s">
        <v>15</v>
      </c>
    </row>
    <row r="52" spans="1:219" ht="13.5" thickBot="1" x14ac:dyDescent="0.25">
      <c r="C52" s="8"/>
      <c r="D52" s="6"/>
      <c r="E52" s="8"/>
      <c r="F52" s="24"/>
      <c r="G52" s="4"/>
      <c r="H52" s="5"/>
      <c r="HG52" t="s">
        <v>14</v>
      </c>
      <c r="HH52" t="s">
        <v>18</v>
      </c>
      <c r="HI52" t="s">
        <v>16</v>
      </c>
      <c r="HJ52" t="s">
        <v>17</v>
      </c>
      <c r="HK52" t="s">
        <v>15</v>
      </c>
    </row>
    <row r="53" spans="1:219" x14ac:dyDescent="0.2">
      <c r="D53" s="7"/>
      <c r="HG53" t="s">
        <v>14</v>
      </c>
      <c r="HH53" t="s">
        <v>18</v>
      </c>
      <c r="HI53" t="s">
        <v>16</v>
      </c>
      <c r="HJ53" t="s">
        <v>17</v>
      </c>
      <c r="HK53" t="s">
        <v>15</v>
      </c>
    </row>
    <row r="54" spans="1:219" x14ac:dyDescent="0.2">
      <c r="D54" s="7"/>
    </row>
    <row r="55" spans="1:219" x14ac:dyDescent="0.2">
      <c r="D55" s="7"/>
    </row>
    <row r="56" spans="1:219" x14ac:dyDescent="0.2">
      <c r="D56" s="7"/>
    </row>
    <row r="57" spans="1:219" x14ac:dyDescent="0.2">
      <c r="D57" s="7"/>
    </row>
    <row r="58" spans="1:219" x14ac:dyDescent="0.2">
      <c r="D58" s="7"/>
    </row>
    <row r="59" spans="1:219" x14ac:dyDescent="0.2">
      <c r="D59" s="7"/>
    </row>
    <row r="60" spans="1:219" x14ac:dyDescent="0.2">
      <c r="D60" s="7"/>
    </row>
    <row r="61" spans="1:219" x14ac:dyDescent="0.2">
      <c r="D61" s="7"/>
    </row>
    <row r="62" spans="1:219" x14ac:dyDescent="0.2">
      <c r="D62" s="7"/>
    </row>
    <row r="63" spans="1:219" x14ac:dyDescent="0.2">
      <c r="D63" s="7"/>
    </row>
    <row r="64" spans="1:219" x14ac:dyDescent="0.2">
      <c r="D64" s="7"/>
    </row>
    <row r="65" spans="4:4" x14ac:dyDescent="0.2">
      <c r="D65" s="7"/>
    </row>
    <row r="66" spans="4:4" x14ac:dyDescent="0.2">
      <c r="D66" s="7"/>
    </row>
    <row r="67" spans="4:4" x14ac:dyDescent="0.2">
      <c r="D67" s="7"/>
    </row>
    <row r="68" spans="4:4" x14ac:dyDescent="0.2">
      <c r="D68" s="7"/>
    </row>
    <row r="69" spans="4:4" x14ac:dyDescent="0.2">
      <c r="D69" s="7"/>
    </row>
  </sheetData>
  <mergeCells count="27">
    <mergeCell ref="C1:E1"/>
    <mergeCell ref="C3:E3"/>
    <mergeCell ref="C5:E5"/>
    <mergeCell ref="F5:H5"/>
    <mergeCell ref="C2:E2"/>
    <mergeCell ref="C9:E9"/>
    <mergeCell ref="F9:H9"/>
    <mergeCell ref="C10:E10"/>
    <mergeCell ref="F10:H10"/>
    <mergeCell ref="C6:E6"/>
    <mergeCell ref="F6:H6"/>
    <mergeCell ref="C7:E7"/>
    <mergeCell ref="F7:H7"/>
    <mergeCell ref="C13:E13"/>
    <mergeCell ref="F13:H13"/>
    <mergeCell ref="C14:E14"/>
    <mergeCell ref="F14:H14"/>
    <mergeCell ref="C11:E11"/>
    <mergeCell ref="F11:H11"/>
    <mergeCell ref="C12:E12"/>
    <mergeCell ref="F12:H12"/>
    <mergeCell ref="C15:E15"/>
    <mergeCell ref="F15:H15"/>
    <mergeCell ref="C16:E16"/>
    <mergeCell ref="F16:H16"/>
    <mergeCell ref="C17:E17"/>
    <mergeCell ref="F17:H17"/>
  </mergeCells>
  <conditionalFormatting sqref="G52">
    <cfRule type="expression" dxfId="13" priority="13" stopIfTrue="1">
      <formula>F52="fail"</formula>
    </cfRule>
    <cfRule type="expression" dxfId="12" priority="14" stopIfTrue="1">
      <formula>F52="BLK"</formula>
    </cfRule>
  </conditionalFormatting>
  <conditionalFormatting sqref="H52">
    <cfRule type="expression" dxfId="11" priority="15" stopIfTrue="1">
      <formula>F52="fail"</formula>
    </cfRule>
    <cfRule type="expression" dxfId="10" priority="16" stopIfTrue="1">
      <formula>F52="BLK"</formula>
    </cfRule>
  </conditionalFormatting>
  <conditionalFormatting sqref="F52">
    <cfRule type="cellIs" dxfId="9" priority="17" stopIfTrue="1" operator="equal">
      <formula>"fail"</formula>
    </cfRule>
    <cfRule type="cellIs" dxfId="8" priority="18" stopIfTrue="1" operator="equal">
      <formula>"BLK"</formula>
    </cfRule>
  </conditionalFormatting>
  <conditionalFormatting sqref="C19:F19 D51:F51 D20:F21 C32:F50 D28:F31">
    <cfRule type="cellIs" dxfId="7" priority="19" stopIfTrue="1" operator="equal">
      <formula>"fail"</formula>
    </cfRule>
    <cfRule type="cellIs" dxfId="6" priority="20" stopIfTrue="1" operator="equal">
      <formula>"CNP"</formula>
    </cfRule>
  </conditionalFormatting>
  <conditionalFormatting sqref="F22">
    <cfRule type="cellIs" dxfId="5" priority="5" stopIfTrue="1" operator="equal">
      <formula>"fail"</formula>
    </cfRule>
    <cfRule type="cellIs" dxfId="4" priority="6" stopIfTrue="1" operator="equal">
      <formula>"CNP"</formula>
    </cfRule>
  </conditionalFormatting>
  <conditionalFormatting sqref="F27">
    <cfRule type="cellIs" dxfId="3" priority="3" stopIfTrue="1" operator="equal">
      <formula>"fail"</formula>
    </cfRule>
    <cfRule type="cellIs" dxfId="2" priority="4" stopIfTrue="1" operator="equal">
      <formula>"CNP"</formula>
    </cfRule>
  </conditionalFormatting>
  <conditionalFormatting sqref="F23:F26">
    <cfRule type="cellIs" dxfId="1" priority="1" stopIfTrue="1" operator="equal">
      <formula>"fail"</formula>
    </cfRule>
    <cfRule type="cellIs" dxfId="0" priority="2" stopIfTrue="1" operator="equal">
      <formula>"CNP"</formula>
    </cfRule>
  </conditionalFormatting>
  <dataValidations count="3">
    <dataValidation type="list" allowBlank="1" showInputMessage="1" showErrorMessage="1" sqref="D20:E21 D28:E51" xr:uid="{00000000-0002-0000-0000-000000000000}">
      <formula1>"Y,N"</formula1>
    </dataValidation>
    <dataValidation type="list" allowBlank="1" showInputMessage="1" showErrorMessage="1" sqref="F20:F51" xr:uid="{00000000-0002-0000-0000-000001000000}">
      <formula1>"PASS,FAIL,BLK,N/A,Not Run"</formula1>
    </dataValidation>
    <dataValidation type="list" allowBlank="1" showInputMessage="1" showErrorMessage="1" sqref="F52" xr:uid="{00000000-0002-0000-0000-000002000000}">
      <formula1>"pass, BLK, fail, N/A"</formula1>
    </dataValidation>
  </dataValidations>
  <pageMargins left="0.7" right="0.7" top="0.75" bottom="0.75" header="0.3" footer="0.3"/>
  <pageSetup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4F5F2-316F-4C70-8698-3ED687182483}">
  <dimension ref="A1:C45"/>
  <sheetViews>
    <sheetView workbookViewId="0">
      <selection activeCell="C3" sqref="C3"/>
    </sheetView>
  </sheetViews>
  <sheetFormatPr defaultRowHeight="12.75" x14ac:dyDescent="0.2"/>
  <cols>
    <col min="1" max="1" width="12" style="31" customWidth="1"/>
    <col min="2" max="2" width="26.28515625" style="31" customWidth="1"/>
    <col min="3" max="3" width="92.140625" style="31" customWidth="1"/>
    <col min="4" max="4" width="13.5703125" customWidth="1"/>
  </cols>
  <sheetData>
    <row r="1" spans="1:3" x14ac:dyDescent="0.2">
      <c r="A1" s="33" t="s">
        <v>27</v>
      </c>
      <c r="B1" s="33" t="s">
        <v>28</v>
      </c>
      <c r="C1" s="33" t="s">
        <v>31</v>
      </c>
    </row>
    <row r="2" spans="1:3" ht="15.75" x14ac:dyDescent="0.25">
      <c r="A2" s="92">
        <v>2150</v>
      </c>
      <c r="B2" s="92" t="s">
        <v>54</v>
      </c>
      <c r="C2" s="92" t="s">
        <v>55</v>
      </c>
    </row>
    <row r="3" spans="1:3" ht="26.25" x14ac:dyDescent="0.25">
      <c r="A3" s="32" t="s">
        <v>18</v>
      </c>
      <c r="B3" s="92" t="s">
        <v>56</v>
      </c>
      <c r="C3" s="32" t="s">
        <v>57</v>
      </c>
    </row>
    <row r="4" spans="1:3" x14ac:dyDescent="0.2">
      <c r="A4" s="32" t="s">
        <v>29</v>
      </c>
      <c r="B4" s="30"/>
      <c r="C4" s="30"/>
    </row>
    <row r="5" spans="1:3" x14ac:dyDescent="0.2">
      <c r="A5" s="30"/>
      <c r="B5" s="30"/>
      <c r="C5" s="30"/>
    </row>
    <row r="6" spans="1:3" x14ac:dyDescent="0.2">
      <c r="A6" s="30"/>
      <c r="B6" s="30"/>
      <c r="C6" s="30"/>
    </row>
    <row r="7" spans="1:3" x14ac:dyDescent="0.2">
      <c r="A7" s="30"/>
      <c r="B7" s="30"/>
      <c r="C7" s="30"/>
    </row>
    <row r="8" spans="1:3" x14ac:dyDescent="0.2">
      <c r="A8" s="30"/>
      <c r="B8" s="30"/>
      <c r="C8" s="30"/>
    </row>
    <row r="9" spans="1:3" x14ac:dyDescent="0.2">
      <c r="A9" s="30"/>
      <c r="B9" s="30"/>
      <c r="C9" s="30"/>
    </row>
    <row r="10" spans="1:3" x14ac:dyDescent="0.2">
      <c r="A10" s="30"/>
      <c r="B10" s="30"/>
      <c r="C10" s="30"/>
    </row>
    <row r="11" spans="1:3" x14ac:dyDescent="0.2">
      <c r="A11" s="30"/>
      <c r="B11" s="30"/>
      <c r="C11" s="30"/>
    </row>
    <row r="12" spans="1:3" x14ac:dyDescent="0.2">
      <c r="A12" s="30"/>
      <c r="B12" s="30"/>
      <c r="C12" s="30"/>
    </row>
    <row r="13" spans="1:3" x14ac:dyDescent="0.2">
      <c r="A13" s="30"/>
      <c r="B13" s="30"/>
      <c r="C13" s="30"/>
    </row>
    <row r="14" spans="1:3" x14ac:dyDescent="0.2">
      <c r="A14" s="30"/>
      <c r="B14" s="30"/>
      <c r="C14" s="30"/>
    </row>
    <row r="15" spans="1:3" x14ac:dyDescent="0.2">
      <c r="A15" s="30"/>
      <c r="B15" s="30"/>
      <c r="C15" s="30"/>
    </row>
    <row r="16" spans="1:3" x14ac:dyDescent="0.2">
      <c r="A16" s="30"/>
      <c r="B16" s="30"/>
      <c r="C16" s="30"/>
    </row>
    <row r="17" spans="1:3" x14ac:dyDescent="0.2">
      <c r="A17" s="30"/>
      <c r="B17" s="30"/>
      <c r="C17" s="30"/>
    </row>
    <row r="18" spans="1:3" x14ac:dyDescent="0.2">
      <c r="A18" s="30"/>
      <c r="B18" s="30"/>
      <c r="C18" s="30"/>
    </row>
    <row r="19" spans="1:3" x14ac:dyDescent="0.2">
      <c r="A19" s="30"/>
      <c r="B19" s="30"/>
      <c r="C19" s="30"/>
    </row>
    <row r="20" spans="1:3" x14ac:dyDescent="0.2">
      <c r="A20" s="30"/>
      <c r="B20" s="30"/>
      <c r="C20" s="30"/>
    </row>
    <row r="21" spans="1:3" x14ac:dyDescent="0.2">
      <c r="A21" s="30"/>
      <c r="B21" s="30"/>
      <c r="C21" s="30"/>
    </row>
    <row r="22" spans="1:3" x14ac:dyDescent="0.2">
      <c r="A22" s="30"/>
      <c r="B22" s="30"/>
      <c r="C22" s="30"/>
    </row>
    <row r="23" spans="1:3" x14ac:dyDescent="0.2">
      <c r="A23" s="30"/>
      <c r="B23" s="30"/>
      <c r="C23" s="30"/>
    </row>
    <row r="24" spans="1:3" x14ac:dyDescent="0.2">
      <c r="A24" s="30"/>
      <c r="B24" s="30"/>
      <c r="C24" s="30"/>
    </row>
    <row r="25" spans="1:3" x14ac:dyDescent="0.2">
      <c r="A25" s="30"/>
      <c r="B25" s="30"/>
      <c r="C25" s="30"/>
    </row>
    <row r="26" spans="1:3" x14ac:dyDescent="0.2">
      <c r="A26" s="30"/>
      <c r="B26" s="30"/>
      <c r="C26" s="30"/>
    </row>
    <row r="27" spans="1:3" x14ac:dyDescent="0.2">
      <c r="A27" s="30"/>
      <c r="B27" s="30"/>
      <c r="C27" s="30"/>
    </row>
    <row r="28" spans="1:3" x14ac:dyDescent="0.2">
      <c r="A28" s="30"/>
      <c r="B28" s="30"/>
      <c r="C28" s="30"/>
    </row>
    <row r="29" spans="1:3" x14ac:dyDescent="0.2">
      <c r="A29" s="30"/>
      <c r="B29" s="30"/>
      <c r="C29" s="30"/>
    </row>
    <row r="30" spans="1:3" x14ac:dyDescent="0.2">
      <c r="A30" s="30"/>
      <c r="B30" s="30"/>
      <c r="C30" s="30"/>
    </row>
    <row r="31" spans="1:3" x14ac:dyDescent="0.2">
      <c r="A31" s="30"/>
      <c r="B31" s="30"/>
      <c r="C31" s="30"/>
    </row>
    <row r="32" spans="1:3" x14ac:dyDescent="0.2">
      <c r="A32" s="30"/>
      <c r="B32" s="30"/>
      <c r="C32" s="30"/>
    </row>
    <row r="33" spans="1:3" x14ac:dyDescent="0.2">
      <c r="A33" s="30"/>
      <c r="B33" s="30"/>
      <c r="C33" s="30"/>
    </row>
    <row r="34" spans="1:3" x14ac:dyDescent="0.2">
      <c r="A34" s="30"/>
      <c r="B34" s="30"/>
      <c r="C34" s="30"/>
    </row>
    <row r="35" spans="1:3" x14ac:dyDescent="0.2">
      <c r="A35" s="30"/>
      <c r="B35" s="30"/>
      <c r="C35" s="30"/>
    </row>
    <row r="36" spans="1:3" x14ac:dyDescent="0.2">
      <c r="A36" s="30"/>
      <c r="B36" s="30"/>
      <c r="C36" s="30"/>
    </row>
    <row r="37" spans="1:3" x14ac:dyDescent="0.2">
      <c r="A37" s="30"/>
      <c r="B37" s="30"/>
      <c r="C37" s="30"/>
    </row>
    <row r="38" spans="1:3" x14ac:dyDescent="0.2">
      <c r="A38" s="30"/>
      <c r="B38" s="30"/>
      <c r="C38" s="30"/>
    </row>
    <row r="39" spans="1:3" x14ac:dyDescent="0.2">
      <c r="A39" s="30"/>
      <c r="B39" s="30"/>
      <c r="C39" s="30"/>
    </row>
    <row r="40" spans="1:3" x14ac:dyDescent="0.2">
      <c r="A40" s="30"/>
      <c r="B40" s="30"/>
      <c r="C40" s="30"/>
    </row>
    <row r="41" spans="1:3" x14ac:dyDescent="0.2">
      <c r="A41" s="30"/>
      <c r="B41" s="30"/>
      <c r="C41" s="30"/>
    </row>
    <row r="42" spans="1:3" x14ac:dyDescent="0.2">
      <c r="A42" s="30"/>
      <c r="B42" s="30"/>
      <c r="C42" s="30"/>
    </row>
    <row r="43" spans="1:3" x14ac:dyDescent="0.2">
      <c r="A43" s="30"/>
      <c r="B43" s="30"/>
      <c r="C43" s="30"/>
    </row>
    <row r="44" spans="1:3" x14ac:dyDescent="0.2">
      <c r="A44" s="30"/>
      <c r="B44" s="30"/>
      <c r="C44" s="30"/>
    </row>
    <row r="45" spans="1:3" x14ac:dyDescent="0.2">
      <c r="A45" s="30"/>
      <c r="B45" s="30"/>
      <c r="C45" s="30"/>
    </row>
  </sheetData>
  <pageMargins left="0.7" right="0.7" top="0.75" bottom="0.75" header="0.3" footer="0.3"/>
  <pageSetup orientation="portrait" horizontalDpi="4294967293" verticalDpi="4294967293"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940DCEB12F1B74BB4C78279C22A4348" ma:contentTypeVersion="8" ma:contentTypeDescription="Create a new document." ma:contentTypeScope="" ma:versionID="3880ce4615e2ad11c2c43d0c115e7b5d">
  <xsd:schema xmlns:xsd="http://www.w3.org/2001/XMLSchema" xmlns:xs="http://www.w3.org/2001/XMLSchema" xmlns:p="http://schemas.microsoft.com/office/2006/metadata/properties" xmlns:ns2="98e57793-e4b2-47f7-877f-ea6d29fae10c" targetNamespace="http://schemas.microsoft.com/office/2006/metadata/properties" ma:root="true" ma:fieldsID="d2fa55d6893adb580abebe3d853f466f" ns2:_="">
    <xsd:import namespace="98e57793-e4b2-47f7-877f-ea6d29fae10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e57793-e4b2-47f7-877f-ea6d29fae1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F15F969-E635-4DDC-A608-B76D8C73E8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e57793-e4b2-47f7-877f-ea6d29fae10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4AEC4AF-5D2F-429A-98F5-246B1E1E1765}">
  <ds:schemaRefs>
    <ds:schemaRef ds:uri="http://schemas.microsoft.com/sharepoint/v3/contenttype/forms"/>
  </ds:schemaRefs>
</ds:datastoreItem>
</file>

<file path=customXml/itemProps3.xml><?xml version="1.0" encoding="utf-8"?>
<ds:datastoreItem xmlns:ds="http://schemas.openxmlformats.org/officeDocument/2006/customXml" ds:itemID="{C3DA9666-7A49-4DCC-8751-35FB99BA271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Test Results</vt:lpstr>
      <vt:lpstr>Bugs</vt:lpstr>
    </vt:vector>
  </TitlesOfParts>
  <Company>Solace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Richard</dc:creator>
  <cp:lastModifiedBy>Canales Burke, Sebastian</cp:lastModifiedBy>
  <cp:lastPrinted>2011-11-10T19:10:39Z</cp:lastPrinted>
  <dcterms:created xsi:type="dcterms:W3CDTF">2004-12-23T18:41:02Z</dcterms:created>
  <dcterms:modified xsi:type="dcterms:W3CDTF">2024-09-19T18:39:35Z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0x010100E940DCEB12F1B74BB4C78279C22A4348</vt:lpwstr>
  </property>
  <property fmtid="{D5CDD505-2E9C-101B-9397-08002B2CF9AE}" pid="3" name="Order">
    <vt:r8>3785400</vt:r8>
  </property>
</Properties>
</file>